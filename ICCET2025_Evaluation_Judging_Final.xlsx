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yush\OneDrive\Desktop\ICCET2025\"/>
    </mc:Choice>
  </mc:AlternateContent>
  <xr:revisionPtr revIDLastSave="0" documentId="13_ncr:1_{2A5E61FE-06FA-48FF-BC17-6775FB1315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est Paper Award" sheetId="1" r:id="rId1"/>
    <sheet name="Young Researcher Award" sheetId="2" r:id="rId2"/>
    <sheet name="Scores_Per_Participant" sheetId="3" r:id="rId3"/>
    <sheet name="Processed_For_4_Jud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K14" i="3"/>
  <c r="M14" i="3" s="1"/>
  <c r="J14" i="3"/>
  <c r="L14" i="3" s="1"/>
  <c r="K13" i="3"/>
  <c r="M13" i="3" s="1"/>
  <c r="J13" i="3"/>
  <c r="L13" i="3" s="1"/>
  <c r="K12" i="3"/>
  <c r="M12" i="3" s="1"/>
  <c r="J12" i="3"/>
  <c r="L12" i="3" s="1"/>
  <c r="K11" i="3"/>
  <c r="M11" i="3" s="1"/>
  <c r="J11" i="3"/>
  <c r="L11" i="3" s="1"/>
  <c r="K10" i="3"/>
  <c r="M10" i="3" s="1"/>
  <c r="J10" i="3"/>
  <c r="L10" i="3" s="1"/>
  <c r="K9" i="3"/>
  <c r="M9" i="3" s="1"/>
  <c r="J9" i="3"/>
  <c r="L9" i="3" s="1"/>
  <c r="K8" i="3"/>
  <c r="M8" i="3" s="1"/>
  <c r="J8" i="3"/>
  <c r="L8" i="3" s="1"/>
  <c r="K7" i="3"/>
  <c r="M7" i="3" s="1"/>
  <c r="J7" i="3"/>
  <c r="L7" i="3" s="1"/>
  <c r="K6" i="3"/>
  <c r="M6" i="3" s="1"/>
  <c r="J6" i="3"/>
  <c r="L6" i="3" s="1"/>
  <c r="K5" i="3"/>
  <c r="M5" i="3" s="1"/>
  <c r="J5" i="3"/>
  <c r="L5" i="3" s="1"/>
  <c r="K4" i="3"/>
  <c r="M4" i="3" s="1"/>
  <c r="J4" i="3"/>
  <c r="L4" i="3" s="1"/>
  <c r="K3" i="3"/>
  <c r="M3" i="3" s="1"/>
  <c r="J3" i="3"/>
  <c r="L3" i="3" s="1"/>
  <c r="K2" i="3"/>
  <c r="M2" i="3" s="1"/>
  <c r="J2" i="3"/>
  <c r="L2" i="3" s="1"/>
  <c r="D8" i="1"/>
</calcChain>
</file>

<file path=xl/sharedStrings.xml><?xml version="1.0" encoding="utf-8"?>
<sst xmlns="http://schemas.openxmlformats.org/spreadsheetml/2006/main" count="94" uniqueCount="77">
  <si>
    <t>Best Paper Award Evaluation Rubric</t>
  </si>
  <si>
    <t>Description</t>
  </si>
  <si>
    <t>Weightage</t>
  </si>
  <si>
    <t>Score (1–5)</t>
  </si>
  <si>
    <t>Research Quality &amp; Originality</t>
  </si>
  <si>
    <t>Novelty of the research idea, contribution to knowledge, originality of methods.</t>
  </si>
  <si>
    <t>Technical Depth &amp; Methodology</t>
  </si>
  <si>
    <t>Soundness of research design, rigor of experiments, validity of results.</t>
  </si>
  <si>
    <t>Practical Relevance &amp; Impact</t>
  </si>
  <si>
    <t>Applicability to real-world problems, societal/industrial impact.</t>
  </si>
  <si>
    <t>Clarity &amp; Quality of Paper</t>
  </si>
  <si>
    <t>Organization, readability, formatting, proper references.</t>
  </si>
  <si>
    <t>Presentation &amp; Delivery</t>
  </si>
  <si>
    <t>Clarity of oral presentation, ability to answer questions, audience engagement.</t>
  </si>
  <si>
    <t>TOTAL</t>
  </si>
  <si>
    <t>Novelty &amp; Innovation</t>
  </si>
  <si>
    <t>Creativity in research idea, exploration of emerging domains.</t>
  </si>
  <si>
    <t>Research Potential &amp; Contribution</t>
  </si>
  <si>
    <t>Long-term value, contribution to AI/ML/IoT/Emerging Tech.</t>
  </si>
  <si>
    <t>Methodological Approach</t>
  </si>
  <si>
    <t>Appropriateness, interdisciplinary techniques, scientific rigor.</t>
  </si>
  <si>
    <t>Presentation Skills</t>
  </si>
  <si>
    <t>Clarity, confidence, delivery, Q&amp;A handling.</t>
  </si>
  <si>
    <t>Future Research Scope</t>
  </si>
  <si>
    <t>Relevance for sustainable development, industry collaboration.</t>
  </si>
  <si>
    <t>Participant</t>
  </si>
  <si>
    <t>BestPaper_Score - Dr. Meghana M. Reddy</t>
  </si>
  <si>
    <t>BestPaper_Score - Dr. Anu Mary Chacko</t>
  </si>
  <si>
    <t>BestPaper_Score - Dr. Sameera Salam</t>
  </si>
  <si>
    <t>BestPaper_Score - Dr. K. Nagaraju</t>
  </si>
  <si>
    <t>Young_Score - Dr. Meghana M. Reddy</t>
  </si>
  <si>
    <t>Young_Score - Dr. Anu Mary Chacko</t>
  </si>
  <si>
    <t>Young_Score - Dr. Sameera Salam</t>
  </si>
  <si>
    <t>Young_Score - Dr. K. Nagaraju</t>
  </si>
  <si>
    <t>BestPaper_Avg</t>
  </si>
  <si>
    <t>Young_Avg</t>
  </si>
  <si>
    <t>BestPaper_Rank</t>
  </si>
  <si>
    <t>Young_Rank</t>
  </si>
  <si>
    <t>Akhil Sukumar P</t>
  </si>
  <si>
    <t>Rashmi R Nath</t>
  </si>
  <si>
    <t>Siji R</t>
  </si>
  <si>
    <t>Chaithra Dinesh</t>
  </si>
  <si>
    <t>Muhammad Puzhakkala Veettil</t>
  </si>
  <si>
    <t>Sandra Kv (ug)</t>
  </si>
  <si>
    <t>Remya K</t>
  </si>
  <si>
    <t>Hridya G</t>
  </si>
  <si>
    <t>Chandni Pm</t>
  </si>
  <si>
    <t>Joshna M</t>
  </si>
  <si>
    <t>Sreelakshmi Suresh</t>
  </si>
  <si>
    <t>Saniya Sudhan</t>
  </si>
  <si>
    <t>Shayana P</t>
  </si>
  <si>
    <t xml:space="preserve"> 1 - Dr. Meghana M. Reddy</t>
  </si>
  <si>
    <t>Unnamed: 1 - Dr. Anu Mary Chacko</t>
  </si>
  <si>
    <t>Unnamed: 1 - Dr. Sameera Salam</t>
  </si>
  <si>
    <t>Unnamed: 1 - Dr. K. Nagaraju</t>
  </si>
  <si>
    <t>Unnamed: 1 - Avg</t>
  </si>
  <si>
    <t>Unnamed: 2 - Dr. Meghana M. Reddy</t>
  </si>
  <si>
    <t>Unnamed: 2 - Dr. Anu Mary Chacko</t>
  </si>
  <si>
    <t>Unnamed: 2 - Dr. Sameera Salam</t>
  </si>
  <si>
    <t>Unnamed: 2 - Dr. K. Nagaraju</t>
  </si>
  <si>
    <t>Unnamed: 2 - Avg</t>
  </si>
  <si>
    <t>Unnamed: 3 - Dr. Meghana M. Reddy</t>
  </si>
  <si>
    <t>Unnamed: 3 - Dr. Anu Mary Chacko</t>
  </si>
  <si>
    <t>Unnamed: 3 - Dr. Sameera Salam</t>
  </si>
  <si>
    <t>Unnamed: 3 - Dr. K. Nagaraju</t>
  </si>
  <si>
    <t>Unnamed: 3 - Avg</t>
  </si>
  <si>
    <t>Unnamed: 4 - Dr. Meghana M. Reddy</t>
  </si>
  <si>
    <t>Unnamed: 4 - Dr. Anu Mary Chacko</t>
  </si>
  <si>
    <t>Unnamed: 4 - Dr. Sameera Salam</t>
  </si>
  <si>
    <t>Unnamed: 4 - Dr. K. Nagaraju</t>
  </si>
  <si>
    <t>Unnamed: 4 - Avg</t>
  </si>
  <si>
    <t>Total_Score</t>
  </si>
  <si>
    <t>Rank</t>
  </si>
  <si>
    <t>Young_Award_Score</t>
  </si>
  <si>
    <t>Best_Paper_Award_Score</t>
  </si>
  <si>
    <t>Best Paper Award Criterias</t>
  </si>
  <si>
    <t>Young Researcher Award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</si>
</sst>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1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12" borderId="0" xfId="0" applyFont="1" applyFill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6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4" fillId="13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6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 patternType="solid">
          <fgColor indexed="64"/>
          <bgColor theme="4" tint="0.59999389629810485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 patternType="solid">
          <fgColor indexed="64"/>
          <bgColor theme="7" tint="0.59999389629810485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  <fill>
        <patternFill patternType="solid">
          <fgColor indexed="64"/>
          <bgColor theme="7" tint="0.59999389629810485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auto="1"/>
        <name val="Arial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name val="Arial"/>
        <scheme val="minor"/>
      </font>
    </dxf>
    <dxf>
      <font>
        <strike val="0"/>
        <outline val="0"/>
        <shadow val="0"/>
        <u val="none"/>
        <vertAlign val="baseline"/>
        <sz val="16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cores_Per_Participant-style" pivot="0" count="5" xr9:uid="{00000000-0011-0000-FFFF-FFFF00000000}">
      <tableStyleElement type="wholeTable" size="0" dxfId="49"/>
      <tableStyleElement type="headerRow" dxfId="53"/>
      <tableStyleElement type="totalRow" dxfId="50"/>
      <tableStyleElement type="firstRowStripe" dxfId="52"/>
      <tableStyleElement type="secondRowStripe" dxfId="51"/>
    </tableStyle>
    <tableStyle name="Processed_For_4_Judges-style" pivot="0" count="4" xr9:uid="{00000000-0011-0000-FFFF-FFFF01000000}">
      <tableStyleElement type="wholeTable" size="0" dxfId="45"/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AC24A-A960-4D1C-AF2D-2E6A083FBE81}" name="Table4" displayName="Table4" ref="A1:D8" totalsRowShown="0" headerRowDxfId="0" dataDxfId="1" headerRowBorderDxfId="6" tableBorderDxfId="7">
  <autoFilter ref="A1:D8" xr:uid="{D5EAC24A-A960-4D1C-AF2D-2E6A083FBE81}"/>
  <tableColumns count="4">
    <tableColumn id="1" xr3:uid="{12D48159-269D-41DF-8ACF-639128301361}" name="Best Paper Award Criterias" dataDxfId="5"/>
    <tableColumn id="2" xr3:uid="{0595A99B-8A1E-480C-940A-2B1A663445E5}" name="Description" dataDxfId="4"/>
    <tableColumn id="3" xr3:uid="{4341E39A-F73C-465A-B325-107862630D28}" name="Weightage" dataDxfId="3"/>
    <tableColumn id="4" xr3:uid="{FBB1F015-A67F-4049-9057-D41E6120AC2D}" name="Score (1–5)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B84FB-99EF-4F47-92A2-CC1742B68E66}" name="Table3" displayName="Table3" ref="A1:D8" totalsRowShown="0" headerRowDxfId="8" dataDxfId="9" headerRowBorderDxfId="14" tableBorderDxfId="15">
  <autoFilter ref="A1:D8" xr:uid="{0F3B84FB-99EF-4F47-92A2-CC1742B68E66}"/>
  <tableColumns count="4">
    <tableColumn id="1" xr3:uid="{87B835A7-D03A-4B94-85FD-C5F77DADA731}" name="Young Researcher Award Criteria" dataDxfId="13"/>
    <tableColumn id="2" xr3:uid="{0F9CCA29-3054-4AC7-8E16-67FE9860A6F9}" name="Description" dataDxfId="12"/>
    <tableColumn id="3" xr3:uid="{F181DC88-4474-4CE8-9FDC-CE35F823A338}" name="Weightage" dataDxfId="11"/>
    <tableColumn id="4" xr3:uid="{8CF29286-A017-4992-B199-7870631E37CB}" name="Score (1–5)" dataDxfId="1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_Scores_Breakdown" displayName="Participant_Scores_Breakdown" ref="A1:M15" totalsRowCount="1" headerRowDxfId="44" dataDxfId="42" totalsRowDxfId="43">
  <tableColumns count="13">
    <tableColumn id="1" xr3:uid="{00000000-0010-0000-0000-000001000000}" name="Participant" dataDxfId="41" totalsRowDxfId="36"/>
    <tableColumn id="2" xr3:uid="{00000000-0010-0000-0000-000002000000}" name="BestPaper_Score - Dr. Meghana M. Reddy" dataDxfId="40" totalsRowDxfId="35"/>
    <tableColumn id="3" xr3:uid="{00000000-0010-0000-0000-000003000000}" name="BestPaper_Score - Dr. Anu Mary Chacko" dataDxfId="39" totalsRowDxfId="34"/>
    <tableColumn id="4" xr3:uid="{00000000-0010-0000-0000-000004000000}" name="BestPaper_Score - Dr. Sameera Salam" dataDxfId="38" totalsRowDxfId="33"/>
    <tableColumn id="5" xr3:uid="{00000000-0010-0000-0000-000005000000}" name="BestPaper_Score - Dr. K. Nagaraju" dataDxfId="37" totalsRowDxfId="32"/>
    <tableColumn id="6" xr3:uid="{00000000-0010-0000-0000-000006000000}" name="Young_Score - Dr. Meghana M. Reddy" dataDxfId="23" totalsRowDxfId="31"/>
    <tableColumn id="7" xr3:uid="{00000000-0010-0000-0000-000007000000}" name="Young_Score - Dr. Anu Mary Chacko" dataDxfId="22" totalsRowDxfId="30"/>
    <tableColumn id="8" xr3:uid="{00000000-0010-0000-0000-000008000000}" name="Young_Score - Dr. Sameera Salam" dataDxfId="21" totalsRowDxfId="29"/>
    <tableColumn id="9" xr3:uid="{00000000-0010-0000-0000-000009000000}" name="Young_Score - Dr. K. Nagaraju" dataDxfId="20" totalsRowDxfId="28"/>
    <tableColumn id="10" xr3:uid="{00000000-0010-0000-0000-00000A000000}" name="BestPaper_Avg" dataDxfId="19" totalsRowDxfId="27"/>
    <tableColumn id="11" xr3:uid="{00000000-0010-0000-0000-00000B000000}" name="Young_Avg" dataDxfId="18" totalsRowDxfId="26"/>
    <tableColumn id="12" xr3:uid="{00000000-0010-0000-0000-00000C000000}" name="BestPaper_Rank" dataDxfId="16" totalsRowDxfId="25"/>
    <tableColumn id="13" xr3:uid="{00000000-0010-0000-0000-00000D000000}" name="Young_Rank" dataDxfId="17" totalsRowDxfId="24"/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dge_Evaluations" displayName="Judge_Evaluations" ref="A1:Y14">
  <tableColumns count="25">
    <tableColumn id="1" xr3:uid="{00000000-0010-0000-0100-000001000000}" name="Best Paper Award Evaluation Rubric"/>
    <tableColumn id="2" xr3:uid="{00000000-0010-0000-0100-000002000000}" name=" 1 - Dr. Meghana M. Reddy"/>
    <tableColumn id="3" xr3:uid="{00000000-0010-0000-0100-000003000000}" name="Unnamed: 1 - Dr. Anu Mary Chacko"/>
    <tableColumn id="4" xr3:uid="{00000000-0010-0000-0100-000004000000}" name="Unnamed: 1 - Dr. Sameera Salam"/>
    <tableColumn id="5" xr3:uid="{00000000-0010-0000-0100-000005000000}" name="Unnamed: 1 - Dr. K. Nagaraju"/>
    <tableColumn id="6" xr3:uid="{00000000-0010-0000-0100-000006000000}" name="Unnamed: 1 - Avg"/>
    <tableColumn id="7" xr3:uid="{00000000-0010-0000-0100-000007000000}" name="Unnamed: 2 - Dr. Meghana M. Reddy"/>
    <tableColumn id="8" xr3:uid="{00000000-0010-0000-0100-000008000000}" name="Unnamed: 2 - Dr. Anu Mary Chacko"/>
    <tableColumn id="9" xr3:uid="{00000000-0010-0000-0100-000009000000}" name="Unnamed: 2 - Dr. Sameera Salam"/>
    <tableColumn id="10" xr3:uid="{00000000-0010-0000-0100-00000A000000}" name="Unnamed: 2 - Dr. K. Nagaraju"/>
    <tableColumn id="11" xr3:uid="{00000000-0010-0000-0100-00000B000000}" name="Unnamed: 2 - Avg"/>
    <tableColumn id="12" xr3:uid="{00000000-0010-0000-0100-00000C000000}" name="Unnamed: 3 - Dr. Meghana M. Reddy"/>
    <tableColumn id="13" xr3:uid="{00000000-0010-0000-0100-00000D000000}" name="Unnamed: 3 - Dr. Anu Mary Chacko"/>
    <tableColumn id="14" xr3:uid="{00000000-0010-0000-0100-00000E000000}" name="Unnamed: 3 - Dr. Sameera Salam"/>
    <tableColumn id="15" xr3:uid="{00000000-0010-0000-0100-00000F000000}" name="Unnamed: 3 - Dr. K. Nagaraju"/>
    <tableColumn id="16" xr3:uid="{00000000-0010-0000-0100-000010000000}" name="Unnamed: 3 - Avg"/>
    <tableColumn id="17" xr3:uid="{00000000-0010-0000-0100-000011000000}" name="Unnamed: 4 - Dr. Meghana M. Reddy"/>
    <tableColumn id="18" xr3:uid="{00000000-0010-0000-0100-000012000000}" name="Unnamed: 4 - Dr. Anu Mary Chacko"/>
    <tableColumn id="19" xr3:uid="{00000000-0010-0000-0100-000013000000}" name="Unnamed: 4 - Dr. Sameera Salam"/>
    <tableColumn id="20" xr3:uid="{00000000-0010-0000-0100-000014000000}" name="Unnamed: 4 - Dr. K. Nagaraju"/>
    <tableColumn id="21" xr3:uid="{00000000-0010-0000-0100-000015000000}" name="Unnamed: 4 - Avg"/>
    <tableColumn id="22" xr3:uid="{00000000-0010-0000-0100-000016000000}" name="Total_Score"/>
    <tableColumn id="23" xr3:uid="{00000000-0010-0000-0100-000017000000}" name="Rank"/>
    <tableColumn id="24" xr3:uid="{00000000-0010-0000-0100-000018000000}" name="Young_Award_Score"/>
    <tableColumn id="25" xr3:uid="{00000000-0010-0000-0100-000019000000}" name="Best_Paper_Award_Score"/>
  </tableColumns>
  <tableStyleInfo name="Processed_For_4_Judg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11" sqref="B11"/>
    </sheetView>
  </sheetViews>
  <sheetFormatPr defaultColWidth="12.59765625" defaultRowHeight="15" customHeight="1" x14ac:dyDescent="0.25"/>
  <cols>
    <col min="1" max="1" width="39.69921875" customWidth="1"/>
    <col min="2" max="2" width="67" customWidth="1"/>
    <col min="3" max="3" width="13.09765625" customWidth="1"/>
    <col min="4" max="4" width="15.69921875" customWidth="1"/>
    <col min="5" max="25" width="7.59765625" customWidth="1"/>
  </cols>
  <sheetData>
    <row r="1" spans="1:4" ht="13.8" x14ac:dyDescent="0.25">
      <c r="A1" s="26" t="s">
        <v>75</v>
      </c>
      <c r="B1" s="25" t="s">
        <v>1</v>
      </c>
      <c r="C1" s="25" t="s">
        <v>2</v>
      </c>
      <c r="D1" s="25" t="s">
        <v>3</v>
      </c>
    </row>
    <row r="2" spans="1:4" ht="13.8" x14ac:dyDescent="0.25">
      <c r="A2" s="1"/>
      <c r="B2" s="1"/>
      <c r="C2" s="1"/>
      <c r="D2" s="27"/>
    </row>
    <row r="3" spans="1:4" ht="13.8" x14ac:dyDescent="0.25">
      <c r="A3" s="2" t="s">
        <v>4</v>
      </c>
      <c r="B3" s="2" t="s">
        <v>5</v>
      </c>
      <c r="C3" s="2">
        <v>0.3</v>
      </c>
      <c r="D3" s="2">
        <v>4</v>
      </c>
    </row>
    <row r="4" spans="1:4" ht="13.8" x14ac:dyDescent="0.25">
      <c r="A4" s="2" t="s">
        <v>6</v>
      </c>
      <c r="B4" s="2" t="s">
        <v>7</v>
      </c>
      <c r="C4" s="2">
        <v>0.25</v>
      </c>
      <c r="D4" s="2">
        <v>3</v>
      </c>
    </row>
    <row r="5" spans="1:4" ht="13.8" x14ac:dyDescent="0.25">
      <c r="A5" s="2" t="s">
        <v>8</v>
      </c>
      <c r="B5" s="2" t="s">
        <v>9</v>
      </c>
      <c r="C5" s="2">
        <v>0.2</v>
      </c>
      <c r="D5" s="2">
        <v>5</v>
      </c>
    </row>
    <row r="6" spans="1:4" ht="13.8" x14ac:dyDescent="0.25">
      <c r="A6" s="2" t="s">
        <v>10</v>
      </c>
      <c r="B6" s="2" t="s">
        <v>11</v>
      </c>
      <c r="C6" s="2">
        <v>0.15</v>
      </c>
      <c r="D6" s="2">
        <v>3</v>
      </c>
    </row>
    <row r="7" spans="1:4" ht="13.8" x14ac:dyDescent="0.25">
      <c r="A7" s="2" t="s">
        <v>12</v>
      </c>
      <c r="B7" s="2" t="s">
        <v>13</v>
      </c>
      <c r="C7" s="2">
        <v>0.1</v>
      </c>
      <c r="D7" s="2">
        <v>4</v>
      </c>
    </row>
    <row r="8" spans="1:4" ht="13.8" x14ac:dyDescent="0.25">
      <c r="C8" s="1" t="s">
        <v>14</v>
      </c>
      <c r="D8" s="2">
        <f>SUM(D3:D7)</f>
        <v>19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8" sqref="D8"/>
    </sheetView>
  </sheetViews>
  <sheetFormatPr defaultColWidth="12.59765625" defaultRowHeight="15" customHeight="1" x14ac:dyDescent="0.25"/>
  <cols>
    <col min="1" max="1" width="47.09765625" customWidth="1"/>
    <col min="2" max="2" width="61.5" customWidth="1"/>
    <col min="3" max="3" width="13.09765625" customWidth="1"/>
    <col min="4" max="4" width="15.69921875" customWidth="1"/>
    <col min="5" max="25" width="7.59765625" customWidth="1"/>
  </cols>
  <sheetData>
    <row r="1" spans="1:4" ht="13.8" x14ac:dyDescent="0.25">
      <c r="A1" s="24" t="s">
        <v>76</v>
      </c>
      <c r="B1" s="25" t="s">
        <v>1</v>
      </c>
      <c r="C1" s="25" t="s">
        <v>2</v>
      </c>
      <c r="D1" s="25" t="s">
        <v>3</v>
      </c>
    </row>
    <row r="2" spans="1:4" ht="13.8" x14ac:dyDescent="0.25">
      <c r="A2" s="1"/>
      <c r="B2" s="1"/>
      <c r="C2" s="1"/>
      <c r="D2" s="1"/>
    </row>
    <row r="3" spans="1:4" ht="13.8" x14ac:dyDescent="0.25">
      <c r="A3" s="2" t="s">
        <v>15</v>
      </c>
      <c r="B3" s="2" t="s">
        <v>16</v>
      </c>
      <c r="C3" s="2">
        <v>0.3</v>
      </c>
      <c r="D3" s="2">
        <v>2</v>
      </c>
    </row>
    <row r="4" spans="1:4" ht="13.8" x14ac:dyDescent="0.25">
      <c r="A4" s="2" t="s">
        <v>17</v>
      </c>
      <c r="B4" s="2" t="s">
        <v>18</v>
      </c>
      <c r="C4" s="2">
        <v>0.25</v>
      </c>
      <c r="D4" s="2">
        <v>5</v>
      </c>
    </row>
    <row r="5" spans="1:4" ht="13.8" x14ac:dyDescent="0.25">
      <c r="A5" s="2" t="s">
        <v>19</v>
      </c>
      <c r="B5" s="2" t="s">
        <v>20</v>
      </c>
      <c r="C5" s="2">
        <v>0.2</v>
      </c>
      <c r="D5" s="2">
        <v>5</v>
      </c>
    </row>
    <row r="6" spans="1:4" ht="13.8" x14ac:dyDescent="0.25">
      <c r="A6" s="2" t="s">
        <v>21</v>
      </c>
      <c r="B6" s="2" t="s">
        <v>22</v>
      </c>
      <c r="C6" s="2">
        <v>0.15</v>
      </c>
      <c r="D6" s="2">
        <v>5</v>
      </c>
    </row>
    <row r="7" spans="1:4" ht="13.8" x14ac:dyDescent="0.25">
      <c r="A7" s="2" t="s">
        <v>23</v>
      </c>
      <c r="B7" s="2" t="s">
        <v>24</v>
      </c>
      <c r="C7" s="2">
        <v>0.1</v>
      </c>
      <c r="D7" s="2">
        <v>5</v>
      </c>
    </row>
    <row r="8" spans="1:4" ht="13.8" x14ac:dyDescent="0.25">
      <c r="C8" s="1" t="s">
        <v>14</v>
      </c>
      <c r="D8" s="2">
        <f>SUBTOTAL(109,D2:D7)</f>
        <v>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abSelected="1" topLeftCell="C1" zoomScale="70" zoomScaleNormal="70" workbookViewId="0">
      <pane ySplit="1" topLeftCell="A2" activePane="bottomLeft" state="frozen"/>
      <selection pane="bottomLeft" activeCell="F1" sqref="F1:F1048576"/>
    </sheetView>
  </sheetViews>
  <sheetFormatPr defaultColWidth="12.59765625" defaultRowHeight="15" customHeight="1" x14ac:dyDescent="0.25"/>
  <cols>
    <col min="1" max="1" width="42.796875" customWidth="1"/>
    <col min="2" max="2" width="62.5" customWidth="1"/>
    <col min="3" max="3" width="60.09765625" customWidth="1"/>
    <col min="4" max="4" width="57" customWidth="1"/>
    <col min="5" max="5" width="54.59765625" customWidth="1"/>
    <col min="6" max="6" width="60.296875" customWidth="1"/>
    <col min="7" max="7" width="55.5" customWidth="1"/>
    <col min="8" max="8" width="51.3984375" customWidth="1"/>
    <col min="9" max="9" width="53.5" customWidth="1"/>
    <col min="10" max="10" width="37.19921875" customWidth="1"/>
    <col min="11" max="11" width="35.5" customWidth="1"/>
    <col min="12" max="12" width="30.5" customWidth="1"/>
    <col min="13" max="13" width="28.19921875" customWidth="1"/>
    <col min="14" max="26" width="7.59765625" customWidth="1"/>
  </cols>
  <sheetData>
    <row r="1" spans="1:13" ht="22.5" customHeight="1" x14ac:dyDescent="0.25">
      <c r="A1" s="6" t="s">
        <v>25</v>
      </c>
      <c r="B1" s="7" t="s">
        <v>26</v>
      </c>
      <c r="C1" s="8" t="s">
        <v>27</v>
      </c>
      <c r="D1" s="9" t="s">
        <v>28</v>
      </c>
      <c r="E1" s="10" t="s">
        <v>29</v>
      </c>
      <c r="F1" s="11" t="s">
        <v>30</v>
      </c>
      <c r="G1" s="8" t="s">
        <v>31</v>
      </c>
      <c r="H1" s="12" t="s">
        <v>32</v>
      </c>
      <c r="I1" s="10" t="s">
        <v>33</v>
      </c>
      <c r="J1" s="13" t="s">
        <v>34</v>
      </c>
      <c r="K1" s="13" t="s">
        <v>35</v>
      </c>
      <c r="L1" s="13" t="s">
        <v>36</v>
      </c>
      <c r="M1" s="13" t="s">
        <v>37</v>
      </c>
    </row>
    <row r="2" spans="1:13" ht="22.5" customHeight="1" x14ac:dyDescent="0.25">
      <c r="A2" s="5" t="s">
        <v>38</v>
      </c>
      <c r="B2" s="14">
        <v>19</v>
      </c>
      <c r="C2" s="16">
        <v>2</v>
      </c>
      <c r="D2" s="19">
        <v>1</v>
      </c>
      <c r="E2" s="20">
        <v>3</v>
      </c>
      <c r="F2" s="21">
        <v>22</v>
      </c>
      <c r="G2" s="16">
        <v>3</v>
      </c>
      <c r="H2" s="19">
        <v>2</v>
      </c>
      <c r="I2" s="20">
        <v>3</v>
      </c>
      <c r="J2" s="22">
        <f t="shared" ref="J2:J14" si="0">IF(COUNTA(B2:E2)=0,"",AVERAGE(B2:E2))</f>
        <v>6.25</v>
      </c>
      <c r="K2" s="22">
        <f t="shared" ref="K2:K14" si="1">IF(COUNTA(F2:I2)=0,"",AVERAGE(F2:I2))</f>
        <v>7.5</v>
      </c>
      <c r="L2" s="23">
        <f t="shared" ref="L2:L14" si="2">IF($J2="","",RANK($J2,$J$2:$J$14,0))</f>
        <v>1</v>
      </c>
      <c r="M2" s="22">
        <f t="shared" ref="M2:M14" si="3">IF($K2="","",RANK($K2,$K$2:$K$14,0))</f>
        <v>1</v>
      </c>
    </row>
    <row r="3" spans="1:13" ht="22.5" customHeight="1" x14ac:dyDescent="0.25">
      <c r="A3" s="5" t="s">
        <v>39</v>
      </c>
      <c r="B3" s="14">
        <v>4</v>
      </c>
      <c r="C3" s="16">
        <v>3</v>
      </c>
      <c r="D3" s="19">
        <v>2</v>
      </c>
      <c r="E3" s="20">
        <v>3</v>
      </c>
      <c r="F3" s="21">
        <v>2</v>
      </c>
      <c r="G3" s="16">
        <v>2</v>
      </c>
      <c r="H3" s="19">
        <v>4</v>
      </c>
      <c r="I3" s="20">
        <v>2</v>
      </c>
      <c r="J3" s="22">
        <f t="shared" si="0"/>
        <v>3</v>
      </c>
      <c r="K3" s="22">
        <f t="shared" si="1"/>
        <v>2.5</v>
      </c>
      <c r="L3" s="23">
        <f t="shared" si="2"/>
        <v>10</v>
      </c>
      <c r="M3" s="22">
        <f t="shared" si="3"/>
        <v>12</v>
      </c>
    </row>
    <row r="4" spans="1:13" ht="22.5" customHeight="1" x14ac:dyDescent="0.25">
      <c r="A4" s="5" t="s">
        <v>40</v>
      </c>
      <c r="B4" s="14">
        <v>4</v>
      </c>
      <c r="C4" s="16">
        <v>4</v>
      </c>
      <c r="D4" s="19">
        <v>2</v>
      </c>
      <c r="E4" s="20">
        <v>4</v>
      </c>
      <c r="F4" s="21">
        <v>4</v>
      </c>
      <c r="G4" s="16">
        <v>4</v>
      </c>
      <c r="H4" s="19">
        <v>5</v>
      </c>
      <c r="I4" s="20">
        <v>2</v>
      </c>
      <c r="J4" s="22">
        <f t="shared" si="0"/>
        <v>3.5</v>
      </c>
      <c r="K4" s="22">
        <f t="shared" si="1"/>
        <v>3.75</v>
      </c>
      <c r="L4" s="23">
        <f t="shared" si="2"/>
        <v>4</v>
      </c>
      <c r="M4" s="22">
        <f t="shared" si="3"/>
        <v>4</v>
      </c>
    </row>
    <row r="5" spans="1:13" ht="22.5" customHeight="1" x14ac:dyDescent="0.25">
      <c r="A5" s="5" t="s">
        <v>41</v>
      </c>
      <c r="B5" s="14">
        <v>2</v>
      </c>
      <c r="C5" s="16">
        <v>1</v>
      </c>
      <c r="D5" s="19">
        <v>3</v>
      </c>
      <c r="E5" s="20">
        <v>3</v>
      </c>
      <c r="F5" s="21">
        <v>3</v>
      </c>
      <c r="G5" s="16">
        <v>3</v>
      </c>
      <c r="H5" s="19">
        <v>2</v>
      </c>
      <c r="I5" s="20">
        <v>4</v>
      </c>
      <c r="J5" s="22">
        <f t="shared" si="0"/>
        <v>2.25</v>
      </c>
      <c r="K5" s="22">
        <f t="shared" si="1"/>
        <v>3</v>
      </c>
      <c r="L5" s="23">
        <f t="shared" si="2"/>
        <v>13</v>
      </c>
      <c r="M5" s="22">
        <f t="shared" si="3"/>
        <v>8</v>
      </c>
    </row>
    <row r="6" spans="1:13" ht="22.5" customHeight="1" x14ac:dyDescent="0.25">
      <c r="A6" s="5" t="s">
        <v>42</v>
      </c>
      <c r="B6" s="14">
        <v>5</v>
      </c>
      <c r="C6" s="16">
        <v>3</v>
      </c>
      <c r="D6" s="19">
        <v>3</v>
      </c>
      <c r="E6" s="20">
        <v>2</v>
      </c>
      <c r="F6" s="21">
        <v>2</v>
      </c>
      <c r="G6" s="16">
        <v>2</v>
      </c>
      <c r="H6" s="19">
        <v>1</v>
      </c>
      <c r="I6" s="20">
        <v>3</v>
      </c>
      <c r="J6" s="22">
        <f t="shared" si="0"/>
        <v>3.25</v>
      </c>
      <c r="K6" s="22">
        <f t="shared" si="1"/>
        <v>2</v>
      </c>
      <c r="L6" s="23">
        <f t="shared" si="2"/>
        <v>8</v>
      </c>
      <c r="M6" s="22">
        <f t="shared" si="3"/>
        <v>13</v>
      </c>
    </row>
    <row r="7" spans="1:13" ht="22.5" customHeight="1" x14ac:dyDescent="0.25">
      <c r="A7" s="5" t="s">
        <v>43</v>
      </c>
      <c r="B7" s="14">
        <v>1</v>
      </c>
      <c r="C7" s="16">
        <v>4</v>
      </c>
      <c r="D7" s="19">
        <v>3</v>
      </c>
      <c r="E7" s="20">
        <v>4</v>
      </c>
      <c r="F7" s="21">
        <v>3</v>
      </c>
      <c r="G7" s="16">
        <v>3</v>
      </c>
      <c r="H7" s="19">
        <v>3</v>
      </c>
      <c r="I7" s="20">
        <v>5</v>
      </c>
      <c r="J7" s="22">
        <f t="shared" si="0"/>
        <v>3</v>
      </c>
      <c r="K7" s="22">
        <f t="shared" si="1"/>
        <v>3.5</v>
      </c>
      <c r="L7" s="23">
        <f t="shared" si="2"/>
        <v>10</v>
      </c>
      <c r="M7" s="22">
        <f t="shared" si="3"/>
        <v>6</v>
      </c>
    </row>
    <row r="8" spans="1:13" ht="22.5" customHeight="1" x14ac:dyDescent="0.25">
      <c r="A8" s="5" t="s">
        <v>44</v>
      </c>
      <c r="B8" s="14">
        <v>3</v>
      </c>
      <c r="C8" s="16">
        <v>2</v>
      </c>
      <c r="D8" s="19">
        <v>3</v>
      </c>
      <c r="E8" s="20">
        <v>3</v>
      </c>
      <c r="F8" s="21">
        <v>4</v>
      </c>
      <c r="G8" s="16">
        <v>5</v>
      </c>
      <c r="H8" s="19">
        <v>5</v>
      </c>
      <c r="I8" s="20">
        <v>4</v>
      </c>
      <c r="J8" s="22">
        <f t="shared" si="0"/>
        <v>2.75</v>
      </c>
      <c r="K8" s="22">
        <f t="shared" si="1"/>
        <v>4.5</v>
      </c>
      <c r="L8" s="23">
        <f t="shared" si="2"/>
        <v>12</v>
      </c>
      <c r="M8" s="22">
        <f t="shared" si="3"/>
        <v>2</v>
      </c>
    </row>
    <row r="9" spans="1:13" ht="22.5" customHeight="1" x14ac:dyDescent="0.25">
      <c r="A9" s="5" t="s">
        <v>45</v>
      </c>
      <c r="B9" s="14">
        <v>3</v>
      </c>
      <c r="C9" s="16">
        <v>5</v>
      </c>
      <c r="D9" s="19">
        <v>4</v>
      </c>
      <c r="E9" s="20">
        <v>1</v>
      </c>
      <c r="F9" s="21">
        <v>5</v>
      </c>
      <c r="G9" s="16">
        <v>3</v>
      </c>
      <c r="H9" s="19">
        <v>3</v>
      </c>
      <c r="I9" s="20">
        <v>2</v>
      </c>
      <c r="J9" s="22">
        <f t="shared" si="0"/>
        <v>3.25</v>
      </c>
      <c r="K9" s="22">
        <f t="shared" si="1"/>
        <v>3.25</v>
      </c>
      <c r="L9" s="23">
        <f t="shared" si="2"/>
        <v>8</v>
      </c>
      <c r="M9" s="22">
        <f t="shared" si="3"/>
        <v>7</v>
      </c>
    </row>
    <row r="10" spans="1:13" ht="22.5" customHeight="1" x14ac:dyDescent="0.25">
      <c r="A10" s="5" t="s">
        <v>46</v>
      </c>
      <c r="B10" s="14">
        <v>2</v>
      </c>
      <c r="C10" s="16">
        <v>3</v>
      </c>
      <c r="D10" s="19">
        <v>4</v>
      </c>
      <c r="E10" s="20">
        <v>5</v>
      </c>
      <c r="F10" s="21">
        <v>4</v>
      </c>
      <c r="G10" s="16">
        <v>2</v>
      </c>
      <c r="H10" s="19">
        <v>2</v>
      </c>
      <c r="I10" s="20">
        <v>3</v>
      </c>
      <c r="J10" s="22">
        <f t="shared" si="0"/>
        <v>3.5</v>
      </c>
      <c r="K10" s="22">
        <f t="shared" si="1"/>
        <v>2.75</v>
      </c>
      <c r="L10" s="23">
        <f t="shared" si="2"/>
        <v>4</v>
      </c>
      <c r="M10" s="22">
        <f t="shared" si="3"/>
        <v>10</v>
      </c>
    </row>
    <row r="11" spans="1:13" ht="22.5" customHeight="1" x14ac:dyDescent="0.25">
      <c r="A11" s="5" t="s">
        <v>47</v>
      </c>
      <c r="B11" s="14">
        <v>3</v>
      </c>
      <c r="C11" s="16">
        <v>2</v>
      </c>
      <c r="D11" s="19">
        <v>5</v>
      </c>
      <c r="E11" s="20">
        <v>4</v>
      </c>
      <c r="F11" s="21">
        <v>3</v>
      </c>
      <c r="G11" s="16">
        <v>1</v>
      </c>
      <c r="H11" s="19">
        <v>4</v>
      </c>
      <c r="I11" s="20">
        <v>3</v>
      </c>
      <c r="J11" s="22">
        <f t="shared" si="0"/>
        <v>3.5</v>
      </c>
      <c r="K11" s="22">
        <f t="shared" si="1"/>
        <v>2.75</v>
      </c>
      <c r="L11" s="23">
        <f t="shared" si="2"/>
        <v>4</v>
      </c>
      <c r="M11" s="22">
        <f t="shared" si="3"/>
        <v>10</v>
      </c>
    </row>
    <row r="12" spans="1:13" ht="22.5" customHeight="1" x14ac:dyDescent="0.25">
      <c r="A12" s="5" t="s">
        <v>48</v>
      </c>
      <c r="B12" s="14">
        <v>4</v>
      </c>
      <c r="C12" s="16">
        <v>4</v>
      </c>
      <c r="D12" s="19">
        <v>5</v>
      </c>
      <c r="E12" s="20">
        <v>2</v>
      </c>
      <c r="F12" s="21">
        <v>2</v>
      </c>
      <c r="G12" s="16">
        <v>2</v>
      </c>
      <c r="H12" s="19">
        <v>3</v>
      </c>
      <c r="I12" s="20">
        <v>5</v>
      </c>
      <c r="J12" s="22">
        <f t="shared" si="0"/>
        <v>3.75</v>
      </c>
      <c r="K12" s="22">
        <f t="shared" si="1"/>
        <v>3</v>
      </c>
      <c r="L12" s="23">
        <f t="shared" si="2"/>
        <v>3</v>
      </c>
      <c r="M12" s="22">
        <f t="shared" si="3"/>
        <v>8</v>
      </c>
    </row>
    <row r="13" spans="1:13" ht="22.5" customHeight="1" x14ac:dyDescent="0.25">
      <c r="A13" s="5" t="s">
        <v>49</v>
      </c>
      <c r="B13" s="14">
        <v>5</v>
      </c>
      <c r="C13" s="16">
        <v>1</v>
      </c>
      <c r="D13" s="19">
        <v>5</v>
      </c>
      <c r="E13" s="20">
        <v>3</v>
      </c>
      <c r="F13" s="21">
        <v>3</v>
      </c>
      <c r="G13" s="16">
        <v>3</v>
      </c>
      <c r="H13" s="19">
        <v>5</v>
      </c>
      <c r="I13" s="20">
        <v>5</v>
      </c>
      <c r="J13" s="22">
        <f t="shared" si="0"/>
        <v>3.5</v>
      </c>
      <c r="K13" s="22">
        <f t="shared" si="1"/>
        <v>4</v>
      </c>
      <c r="L13" s="23">
        <f t="shared" si="2"/>
        <v>4</v>
      </c>
      <c r="M13" s="22">
        <f t="shared" si="3"/>
        <v>3</v>
      </c>
    </row>
    <row r="14" spans="1:13" ht="22.5" customHeight="1" x14ac:dyDescent="0.25">
      <c r="A14" s="5" t="s">
        <v>50</v>
      </c>
      <c r="B14" s="14">
        <v>5</v>
      </c>
      <c r="C14" s="16">
        <v>5</v>
      </c>
      <c r="D14" s="19">
        <v>5</v>
      </c>
      <c r="E14" s="20">
        <v>4</v>
      </c>
      <c r="F14" s="21">
        <v>4</v>
      </c>
      <c r="G14" s="16">
        <v>4</v>
      </c>
      <c r="H14" s="19">
        <v>2</v>
      </c>
      <c r="I14" s="20">
        <v>5</v>
      </c>
      <c r="J14" s="22">
        <f t="shared" si="0"/>
        <v>4.75</v>
      </c>
      <c r="K14" s="22">
        <f t="shared" si="1"/>
        <v>3.75</v>
      </c>
      <c r="L14" s="23">
        <f t="shared" si="2"/>
        <v>2</v>
      </c>
      <c r="M14" s="22">
        <f t="shared" si="3"/>
        <v>4</v>
      </c>
    </row>
    <row r="15" spans="1:13" ht="22.5" customHeight="1" x14ac:dyDescent="0.25">
      <c r="A15" s="5"/>
      <c r="B15" s="15"/>
      <c r="C15" s="17"/>
      <c r="D15" s="17"/>
      <c r="E15" s="17"/>
      <c r="F15" s="17"/>
      <c r="G15" s="17"/>
      <c r="H15" s="17"/>
      <c r="I15" s="17"/>
      <c r="J15" s="22"/>
      <c r="K15" s="22"/>
      <c r="L15" s="23"/>
      <c r="M15" s="22"/>
    </row>
    <row r="16" spans="1:13" ht="15" customHeight="1" x14ac:dyDescent="0.25">
      <c r="C16" s="18"/>
      <c r="G16" s="18"/>
      <c r="H16" s="18"/>
      <c r="I16" s="18"/>
      <c r="J16" s="18"/>
      <c r="K16" s="18"/>
      <c r="L16" s="18"/>
      <c r="M16" s="18"/>
    </row>
    <row r="17" spans="9:9" ht="15" customHeight="1" x14ac:dyDescent="0.25">
      <c r="I17" s="18"/>
    </row>
    <row r="21" spans="9:9" ht="15.75" customHeight="1" x14ac:dyDescent="0.25"/>
    <row r="22" spans="9:9" ht="15.75" customHeight="1" x14ac:dyDescent="0.25"/>
    <row r="23" spans="9:9" ht="15.75" customHeight="1" x14ac:dyDescent="0.25"/>
    <row r="24" spans="9:9" ht="15.75" customHeight="1" x14ac:dyDescent="0.25"/>
    <row r="25" spans="9:9" ht="15.75" customHeight="1" x14ac:dyDescent="0.25"/>
    <row r="26" spans="9:9" ht="15.75" customHeight="1" x14ac:dyDescent="0.25"/>
    <row r="27" spans="9:9" ht="15.75" customHeight="1" x14ac:dyDescent="0.25"/>
    <row r="28" spans="9:9" ht="15.75" customHeight="1" x14ac:dyDescent="0.25"/>
    <row r="29" spans="9:9" ht="15.75" customHeight="1" x14ac:dyDescent="0.25"/>
    <row r="30" spans="9:9" ht="15.75" customHeight="1" x14ac:dyDescent="0.25"/>
    <row r="31" spans="9:9" ht="15.75" customHeight="1" x14ac:dyDescent="0.25"/>
    <row r="32" spans="9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L1:N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 x14ac:dyDescent="0.25"/>
  <cols>
    <col min="1" max="1" width="35" customWidth="1"/>
    <col min="2" max="2" width="35.59765625" customWidth="1"/>
    <col min="3" max="3" width="34.19921875" customWidth="1"/>
    <col min="4" max="4" width="32.59765625" customWidth="1"/>
    <col min="5" max="5" width="29.19921875" customWidth="1"/>
    <col min="6" max="6" width="20.09765625" customWidth="1"/>
    <col min="7" max="7" width="35.59765625" customWidth="1"/>
    <col min="8" max="8" width="34.19921875" customWidth="1"/>
    <col min="9" max="9" width="32.59765625" customWidth="1"/>
    <col min="10" max="10" width="29.19921875" customWidth="1"/>
    <col min="11" max="11" width="20.09765625" customWidth="1"/>
    <col min="12" max="12" width="35.59765625" customWidth="1"/>
    <col min="13" max="13" width="34.19921875" customWidth="1"/>
    <col min="14" max="14" width="32.59765625" customWidth="1"/>
    <col min="15" max="15" width="29.19921875" customWidth="1"/>
    <col min="16" max="16" width="20.09765625" customWidth="1"/>
    <col min="17" max="17" width="35.59765625" customWidth="1"/>
    <col min="18" max="18" width="34.19921875" customWidth="1"/>
    <col min="19" max="19" width="32.59765625" customWidth="1"/>
    <col min="20" max="20" width="29.19921875" customWidth="1"/>
    <col min="21" max="21" width="20.09765625" customWidth="1"/>
    <col min="22" max="22" width="18.3984375" customWidth="1"/>
    <col min="23" max="23" width="12.8984375" customWidth="1"/>
    <col min="24" max="24" width="25.59765625" customWidth="1"/>
    <col min="25" max="25" width="29.69921875" customWidth="1"/>
    <col min="26" max="26" width="7.59765625" customWidth="1"/>
  </cols>
  <sheetData>
    <row r="1" spans="1:25" ht="22.5" customHeight="1" x14ac:dyDescent="0.25">
      <c r="A1" s="3" t="s">
        <v>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</row>
    <row r="2" spans="1:25" ht="22.5" customHeight="1" x14ac:dyDescent="0.25">
      <c r="A2" s="4" t="s">
        <v>38</v>
      </c>
      <c r="B2" s="4">
        <v>0</v>
      </c>
      <c r="C2" s="4">
        <v>0</v>
      </c>
      <c r="D2" s="4">
        <v>0</v>
      </c>
      <c r="E2" s="4">
        <v>0</v>
      </c>
      <c r="V2" s="4">
        <v>0</v>
      </c>
      <c r="W2" s="4">
        <v>1</v>
      </c>
      <c r="X2" s="4">
        <v>0</v>
      </c>
      <c r="Y2" s="4">
        <v>0</v>
      </c>
    </row>
    <row r="3" spans="1:25" ht="22.5" customHeight="1" x14ac:dyDescent="0.25">
      <c r="A3" s="4" t="s">
        <v>39</v>
      </c>
      <c r="B3" s="4">
        <v>0</v>
      </c>
      <c r="D3" s="4">
        <v>0</v>
      </c>
      <c r="E3" s="4">
        <v>0</v>
      </c>
      <c r="V3" s="4">
        <v>0</v>
      </c>
      <c r="W3" s="4">
        <v>1</v>
      </c>
      <c r="X3" s="4">
        <v>0</v>
      </c>
      <c r="Y3" s="4">
        <v>0</v>
      </c>
    </row>
    <row r="4" spans="1:25" ht="22.5" customHeight="1" x14ac:dyDescent="0.25">
      <c r="A4" s="4" t="s">
        <v>40</v>
      </c>
      <c r="B4" s="4">
        <v>0</v>
      </c>
      <c r="C4" s="4">
        <v>0</v>
      </c>
      <c r="D4" s="4">
        <v>0</v>
      </c>
      <c r="E4" s="4">
        <v>0</v>
      </c>
      <c r="V4" s="4">
        <v>0</v>
      </c>
      <c r="W4" s="4">
        <v>1</v>
      </c>
      <c r="X4" s="4">
        <v>0</v>
      </c>
      <c r="Y4" s="4">
        <v>0</v>
      </c>
    </row>
    <row r="5" spans="1:25" ht="22.5" customHeight="1" x14ac:dyDescent="0.25">
      <c r="A5" s="4" t="s">
        <v>41</v>
      </c>
      <c r="V5" s="4">
        <v>0</v>
      </c>
      <c r="W5" s="4">
        <v>1</v>
      </c>
      <c r="X5" s="4">
        <v>0</v>
      </c>
      <c r="Y5" s="4">
        <v>0</v>
      </c>
    </row>
    <row r="6" spans="1:25" ht="22.5" customHeight="1" x14ac:dyDescent="0.25">
      <c r="A6" s="4" t="s">
        <v>42</v>
      </c>
      <c r="V6" s="4">
        <v>0</v>
      </c>
      <c r="W6" s="4">
        <v>1</v>
      </c>
      <c r="X6" s="4">
        <v>0</v>
      </c>
      <c r="Y6" s="4">
        <v>0</v>
      </c>
    </row>
    <row r="7" spans="1:25" ht="22.5" customHeight="1" x14ac:dyDescent="0.25">
      <c r="A7" s="4" t="s">
        <v>43</v>
      </c>
      <c r="V7" s="4">
        <v>0</v>
      </c>
      <c r="W7" s="4">
        <v>1</v>
      </c>
      <c r="X7" s="4">
        <v>0</v>
      </c>
      <c r="Y7" s="4">
        <v>0</v>
      </c>
    </row>
    <row r="8" spans="1:25" ht="22.5" customHeight="1" x14ac:dyDescent="0.25">
      <c r="A8" s="4" t="s">
        <v>44</v>
      </c>
      <c r="V8" s="4">
        <v>0</v>
      </c>
      <c r="W8" s="4">
        <v>1</v>
      </c>
      <c r="X8" s="4">
        <v>0</v>
      </c>
      <c r="Y8" s="4">
        <v>0</v>
      </c>
    </row>
    <row r="9" spans="1:25" ht="22.5" customHeight="1" x14ac:dyDescent="0.25">
      <c r="A9" s="4" t="s">
        <v>45</v>
      </c>
      <c r="V9" s="4">
        <v>0</v>
      </c>
      <c r="W9" s="4">
        <v>1</v>
      </c>
      <c r="X9" s="4">
        <v>0</v>
      </c>
      <c r="Y9" s="4">
        <v>0</v>
      </c>
    </row>
    <row r="10" spans="1:25" ht="22.5" customHeight="1" x14ac:dyDescent="0.25">
      <c r="A10" s="4" t="s">
        <v>46</v>
      </c>
      <c r="V10" s="4">
        <v>0</v>
      </c>
      <c r="W10" s="4">
        <v>1</v>
      </c>
      <c r="X10" s="4">
        <v>0</v>
      </c>
      <c r="Y10" s="4">
        <v>0</v>
      </c>
    </row>
    <row r="11" spans="1:25" ht="22.5" customHeight="1" x14ac:dyDescent="0.25">
      <c r="A11" s="4" t="s">
        <v>47</v>
      </c>
      <c r="V11" s="4">
        <v>0</v>
      </c>
      <c r="W11" s="4">
        <v>1</v>
      </c>
      <c r="X11" s="4">
        <v>0</v>
      </c>
      <c r="Y11" s="4">
        <v>0</v>
      </c>
    </row>
    <row r="12" spans="1:25" ht="22.5" customHeight="1" x14ac:dyDescent="0.25">
      <c r="A12" s="4" t="s">
        <v>48</v>
      </c>
      <c r="V12" s="4">
        <v>0</v>
      </c>
      <c r="W12" s="4">
        <v>1</v>
      </c>
      <c r="X12" s="4">
        <v>0</v>
      </c>
      <c r="Y12" s="4">
        <v>0</v>
      </c>
    </row>
    <row r="13" spans="1:25" ht="22.5" customHeight="1" x14ac:dyDescent="0.25">
      <c r="A13" s="4" t="s">
        <v>49</v>
      </c>
      <c r="V13" s="4">
        <v>0</v>
      </c>
      <c r="W13" s="4">
        <v>1</v>
      </c>
      <c r="X13" s="4">
        <v>0</v>
      </c>
      <c r="Y13" s="4">
        <v>0</v>
      </c>
    </row>
    <row r="14" spans="1:25" ht="22.5" customHeight="1" x14ac:dyDescent="0.25">
      <c r="A14" s="4" t="s">
        <v>50</v>
      </c>
      <c r="V14" s="4">
        <v>0</v>
      </c>
      <c r="W14" s="4">
        <v>1</v>
      </c>
      <c r="X14" s="4">
        <v>0</v>
      </c>
      <c r="Y14" s="4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custom" allowBlank="1" showDropDown="1" sqref="V2:Y14" xr:uid="{00000000-0002-0000-0300-000000000000}">
      <formula1>AND(ISNUMBER(V2),(NOT(OR(NOT(ISERROR(DATEVALUE(V2))), AND(ISNUMBER(V2), LEFT(CELL("format", V2))="D")))))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 Paper Award</vt:lpstr>
      <vt:lpstr>Young Researcher Award</vt:lpstr>
      <vt:lpstr>Scores_Per_Participant</vt:lpstr>
      <vt:lpstr>Processed_For_4_Judges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Vp</cp:lastModifiedBy>
  <dcterms:modified xsi:type="dcterms:W3CDTF">2025-11-13T23:53:29Z</dcterms:modified>
</cp:coreProperties>
</file>